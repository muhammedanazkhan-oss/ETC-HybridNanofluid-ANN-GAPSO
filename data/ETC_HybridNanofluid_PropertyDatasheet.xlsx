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Nanoparticles" sheetId="2" state="visible" r:id="rId4"/>
    <sheet name="Carrier fluids" sheetId="3" state="visible" r:id="rId5"/>
    <sheet name="Hybrid pairs" sheetId="4" state="visible" r:id="rId6"/>
    <sheet name="Design space" sheetId="5" state="visible" r:id="rId7"/>
    <sheet name="Located optim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<sst xmlns="http://schemas.openxmlformats.org/spreadsheetml/2006/main" count="124" uniqueCount="96">
  <si>
    <t xml:space="preserve">Thermophysical-property datasheet</t>
  </si>
  <si>
    <t xml:space="preserve">ANN-surrogate-driven memetic GA-PSO optimisation of the pumping-power-ratio PEC for a hybrid-nanofluid direct-flow evacuated-tube collector</t>
  </si>
  <si>
    <t xml:space="preserve">Author: Muhammed Anaz Khan, University of Bisha, Saudi Arabia</t>
  </si>
  <si>
    <t xml:space="preserve">Component 1 = first-named species of each hybrid pair; s1 = mass share of component 1.</t>
  </si>
  <si>
    <t xml:space="preserve">Particle properties are treated as constant; carrier properties are temperature-dependent (T in degrees C).</t>
  </si>
  <si>
    <t xml:space="preserve">Sheets: Nanoparticles | Carrier fluids (dynamic at T_ref) | Hybrid pairs | Design space | Located optima.</t>
  </si>
  <si>
    <t xml:space="preserve">Property values are representative literature data; correlations are those used by the reduced-order solver.</t>
  </si>
  <si>
    <t xml:space="preserve">All derived quantities are Excel formulas, so the datasheet recomputes when inputs change.</t>
  </si>
  <si>
    <t xml:space="preserve">Table 3 - Nanoparticle thermophysical properties and morphology</t>
  </si>
  <si>
    <t xml:space="preserve">Material</t>
  </si>
  <si>
    <t xml:space="preserve">rho (kg/m3)</t>
  </si>
  <si>
    <t xml:space="preserve">cp (J/kg.K)</t>
  </si>
  <si>
    <t xml:space="preserve">k (W/m.K)</t>
  </si>
  <si>
    <t xml:space="preserve">sphericity psi</t>
  </si>
  <si>
    <t xml:space="preserve">shape factor n = 3/psi</t>
  </si>
  <si>
    <t xml:space="preserve">Al2O3</t>
  </si>
  <si>
    <t xml:space="preserve">Cu</t>
  </si>
  <si>
    <t xml:space="preserve">MWCNT</t>
  </si>
  <si>
    <t xml:space="preserve">Fe3O4</t>
  </si>
  <si>
    <t xml:space="preserve">Graphene</t>
  </si>
  <si>
    <t xml:space="preserve">TiO2</t>
  </si>
  <si>
    <t xml:space="preserve">Sources: representative literature values (see README / manuscript Table 3).</t>
  </si>
  <si>
    <t xml:space="preserve">Table 4 - Carrier-fluid property correlations and values at a reference temperature</t>
  </si>
  <si>
    <t xml:space="preserve">Reference temperature T_ref (deg C):</t>
  </si>
  <si>
    <t xml:space="preserve">&lt;- editable input (blue); all values below recompute</t>
  </si>
  <si>
    <t xml:space="preserve">Carrier</t>
  </si>
  <si>
    <t xml:space="preserve">a_rho</t>
  </si>
  <si>
    <t xml:space="preserve">b_rho</t>
  </si>
  <si>
    <t xml:space="preserve">c_rho</t>
  </si>
  <si>
    <t xml:space="preserve">a_k</t>
  </si>
  <si>
    <t xml:space="preserve">b_k</t>
  </si>
  <si>
    <t xml:space="preserve">c_k</t>
  </si>
  <si>
    <t xml:space="preserve">a_cp</t>
  </si>
  <si>
    <t xml:space="preserve">b_cp</t>
  </si>
  <si>
    <t xml:space="preserve">mu model</t>
  </si>
  <si>
    <t xml:space="preserve">mu p1</t>
  </si>
  <si>
    <t xml:space="preserve">mu p2</t>
  </si>
  <si>
    <t xml:space="preserve">mu p3</t>
  </si>
  <si>
    <t xml:space="preserve">Distilled water</t>
  </si>
  <si>
    <t xml:space="preserve">A*10^(B/(T+C))</t>
  </si>
  <si>
    <t xml:space="preserve">EG/water 60:40</t>
  </si>
  <si>
    <t xml:space="preserve">a*EXP(b*T)</t>
  </si>
  <si>
    <t xml:space="preserve">Synthetic HTF oil</t>
  </si>
  <si>
    <t xml:space="preserve">Computed at T_ref:</t>
  </si>
  <si>
    <t xml:space="preserve">mu (Pa.s)</t>
  </si>
  <si>
    <t xml:space="preserve">mu (mPa.s)</t>
  </si>
  <si>
    <t xml:space="preserve">rho,k = a+bT+cT^2 ; cp = a+bT ; water mu Vogel A*10^(B/(T+C)); EG/water &amp; oil mu = a*exp(b*T).</t>
  </si>
  <si>
    <t xml:space="preserve">Table 1 - Hybrid-pair definitions</t>
  </si>
  <si>
    <t xml:space="preserve">Hybrid pair</t>
  </si>
  <si>
    <t xml:space="preserve">Component 1 (first-named)</t>
  </si>
  <si>
    <t xml:space="preserve">Component 2</t>
  </si>
  <si>
    <t xml:space="preserve">Higher-k component</t>
  </si>
  <si>
    <t xml:space="preserve">Al2O3-Cu</t>
  </si>
  <si>
    <t xml:space="preserve">Al2O3 (k=40)</t>
  </si>
  <si>
    <t xml:space="preserve">Cu (k=401)</t>
  </si>
  <si>
    <t xml:space="preserve">Cu (component 2)</t>
  </si>
  <si>
    <t xml:space="preserve">MWCNT-Fe3O4</t>
  </si>
  <si>
    <t xml:space="preserve">MWCNT (k=3000)</t>
  </si>
  <si>
    <t xml:space="preserve">Fe3O4 (k=9.7)</t>
  </si>
  <si>
    <t xml:space="preserve">MWCNT (component 1)</t>
  </si>
  <si>
    <t xml:space="preserve">Graphene-TiO2</t>
  </si>
  <si>
    <t xml:space="preserve">Graphene (k=5000)</t>
  </si>
  <si>
    <t xml:space="preserve">TiO2 (k=8.9)</t>
  </si>
  <si>
    <t xml:space="preserve">Graphene (component 1)</t>
  </si>
  <si>
    <t xml:space="preserve">Mass split: s1 = w1/w (component-1 mass share); w1 = s1*w, w2 = (1-s1)*w.</t>
  </si>
  <si>
    <t xml:space="preserve">Table 2 - Full-factorial design space of the controlled inputs</t>
  </si>
  <si>
    <t xml:space="preserve">Variable</t>
  </si>
  <si>
    <t xml:space="preserve">Levels</t>
  </si>
  <si>
    <t xml:space="preserve">Count</t>
  </si>
  <si>
    <t xml:space="preserve">Al2O3-Cu; MWCNT-Fe3O4; Graphene-TiO2</t>
  </si>
  <si>
    <t xml:space="preserve">Carrier fluid</t>
  </si>
  <si>
    <t xml:space="preserve">Distilled water; EG/water 60:40; Synthetic HTF oil</t>
  </si>
  <si>
    <t xml:space="preserve">Total weight fraction w (%)</t>
  </si>
  <si>
    <t xml:space="preserve">0.25, 0.5, 1.0, 1.5, 2.0, 2.5, 3.0</t>
  </si>
  <si>
    <t xml:space="preserve">Component-1 mass share 100*s1 (%)</t>
  </si>
  <si>
    <t xml:space="preserve">25, 50, 75</t>
  </si>
  <si>
    <t xml:space="preserve">Volumetric flow rate Vdot (L/min)</t>
  </si>
  <si>
    <t xml:space="preserve">0.5, 1.0, 1.5, 2.0, 3.0, 4.0, 5.0, 6.0</t>
  </si>
  <si>
    <t xml:space="preserve">Inlet temperature Ti (deg C)</t>
  </si>
  <si>
    <t xml:space="preserve">20, 40, 60, 80</t>
  </si>
  <si>
    <t xml:space="preserve">Irradiance Is (W/m2)</t>
  </si>
  <si>
    <t xml:space="preserve">200, 700, 1200</t>
  </si>
  <si>
    <t xml:space="preserve">Ambient temperature Ta (deg C)</t>
  </si>
  <si>
    <t xml:space="preserve">15, 25, 35</t>
  </si>
  <si>
    <t xml:space="preserve">Total runs =</t>
  </si>
  <si>
    <t xml:space="preserve">Table 11 - Directly re-optimised pumping-power-ratio optima (manuscript-reported)</t>
  </si>
  <si>
    <t xml:space="preserve">Pair</t>
  </si>
  <si>
    <t xml:space="preserve">w* (%)</t>
  </si>
  <si>
    <t xml:space="preserve">100*s1 (%)</t>
  </si>
  <si>
    <t xml:space="preserve">Vdot* (L/min)</t>
  </si>
  <si>
    <t xml:space="preserve">phi_hnf</t>
  </si>
  <si>
    <t xml:space="preserve">dP (kPa)</t>
  </si>
  <si>
    <t xml:space="preserve">PEC_f</t>
  </si>
  <si>
    <t xml:space="preserve">PEC_eps</t>
  </si>
  <si>
    <t xml:space="preserve">dPEC = PEC_eps-1</t>
  </si>
  <si>
    <t xml:space="preserve">Under PEC_eps no combination exceeds parity (all dPEC &lt; 0). Best near-parity case: Al2O3-Cu / EG-water.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</si>
</sst>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0"/>
    <numFmt numFmtId="167" formatCode="0.000000"/>
    <numFmt numFmtId="168" formatCode="0.0000"/>
    <numFmt numFmtId="169" formatCode="0.0E+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26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3" t="s">
        <v>3</v>
      </c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3" t="s">
        <v>4</v>
      </c>
      <c r="B6" s="3"/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A7" s="3" t="s">
        <v>5</v>
      </c>
      <c r="B7" s="3"/>
      <c r="C7" s="3"/>
      <c r="D7" s="3"/>
      <c r="E7" s="3"/>
      <c r="F7" s="3"/>
      <c r="G7" s="3"/>
      <c r="H7" s="3"/>
    </row>
    <row r="8" customFormat="false" ht="15" hidden="false" customHeight="false" outlineLevel="0" collapsed="false">
      <c r="A8" s="3" t="s">
        <v>6</v>
      </c>
      <c r="B8" s="3"/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3" t="s">
        <v>7</v>
      </c>
      <c r="B9" s="3"/>
      <c r="C9" s="3"/>
      <c r="D9" s="3"/>
      <c r="E9" s="3"/>
      <c r="F9" s="3"/>
      <c r="G9" s="3"/>
      <c r="H9" s="3"/>
    </row>
  </sheetData>
  <mergeCells count="7">
    <mergeCell ref="A2:H2"/>
    <mergeCell ref="A4:H4"/>
    <mergeCell ref="A5:H5"/>
    <mergeCell ref="A6:H6"/>
    <mergeCell ref="A7:H7"/>
    <mergeCell ref="A8:H8"/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4" t="s">
        <v>8</v>
      </c>
    </row>
    <row r="3" customFormat="false" ht="15" hidden="false" customHeight="false" outlineLevel="0" collapsed="false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</row>
    <row r="4" customFormat="false" ht="15" hidden="false" customHeight="false" outlineLevel="0" collapsed="false">
      <c r="A4" s="6" t="s">
        <v>15</v>
      </c>
      <c r="B4" s="6" t="n">
        <v>3970</v>
      </c>
      <c r="C4" s="6" t="n">
        <v>765</v>
      </c>
      <c r="D4" s="6" t="n">
        <v>40</v>
      </c>
      <c r="E4" s="6" t="n">
        <v>1</v>
      </c>
      <c r="F4" s="7" t="n">
        <f aca="false">3/E4</f>
        <v>3</v>
      </c>
    </row>
    <row r="5" customFormat="false" ht="15" hidden="false" customHeight="false" outlineLevel="0" collapsed="false">
      <c r="A5" s="6" t="s">
        <v>16</v>
      </c>
      <c r="B5" s="6" t="n">
        <v>8933</v>
      </c>
      <c r="C5" s="6" t="n">
        <v>385</v>
      </c>
      <c r="D5" s="6" t="n">
        <v>401</v>
      </c>
      <c r="E5" s="6" t="n">
        <v>1</v>
      </c>
      <c r="F5" s="7" t="n">
        <f aca="false">3/E5</f>
        <v>3</v>
      </c>
    </row>
    <row r="6" customFormat="false" ht="15" hidden="false" customHeight="false" outlineLevel="0" collapsed="false">
      <c r="A6" s="6" t="s">
        <v>17</v>
      </c>
      <c r="B6" s="6" t="n">
        <v>2100</v>
      </c>
      <c r="C6" s="6" t="n">
        <v>711</v>
      </c>
      <c r="D6" s="6" t="n">
        <v>3000</v>
      </c>
      <c r="E6" s="6" t="n">
        <v>0.3</v>
      </c>
      <c r="F6" s="7" t="n">
        <f aca="false">3/E6</f>
        <v>10</v>
      </c>
    </row>
    <row r="7" customFormat="false" ht="15" hidden="false" customHeight="false" outlineLevel="0" collapsed="false">
      <c r="A7" s="6" t="s">
        <v>18</v>
      </c>
      <c r="B7" s="6" t="n">
        <v>5180</v>
      </c>
      <c r="C7" s="6" t="n">
        <v>670</v>
      </c>
      <c r="D7" s="6" t="n">
        <v>9.7</v>
      </c>
      <c r="E7" s="6" t="n">
        <v>1</v>
      </c>
      <c r="F7" s="7" t="n">
        <f aca="false">3/E7</f>
        <v>3</v>
      </c>
    </row>
    <row r="8" customFormat="false" ht="15" hidden="false" customHeight="false" outlineLevel="0" collapsed="false">
      <c r="A8" s="6" t="s">
        <v>19</v>
      </c>
      <c r="B8" s="6" t="n">
        <v>2250</v>
      </c>
      <c r="C8" s="6" t="n">
        <v>717</v>
      </c>
      <c r="D8" s="6" t="n">
        <v>5000</v>
      </c>
      <c r="E8" s="6" t="n">
        <v>0.2</v>
      </c>
      <c r="F8" s="7" t="n">
        <f aca="false">3/E8</f>
        <v>15</v>
      </c>
    </row>
    <row r="9" customFormat="false" ht="15" hidden="false" customHeight="false" outlineLevel="0" collapsed="false">
      <c r="A9" s="6" t="s">
        <v>20</v>
      </c>
      <c r="B9" s="6" t="n">
        <v>4250</v>
      </c>
      <c r="C9" s="6" t="n">
        <v>686</v>
      </c>
      <c r="D9" s="6" t="n">
        <v>8.9</v>
      </c>
      <c r="E9" s="6" t="n">
        <v>1</v>
      </c>
      <c r="F9" s="7" t="n">
        <f aca="false">3/E9</f>
        <v>3</v>
      </c>
    </row>
    <row r="11" customFormat="false" ht="15" hidden="false" customHeight="false" outlineLevel="0" collapsed="false">
      <c r="A11" s="8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9"/>
    <col collapsed="false" customWidth="true" hidden="false" outlineLevel="0" max="4" min="4" style="0" width="10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9" min="8" style="0" width="8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3" min="12" style="0" width="9"/>
  </cols>
  <sheetData>
    <row r="1" customFormat="false" ht="15" hidden="false" customHeight="false" outlineLevel="0" collapsed="false">
      <c r="A1" s="4" t="s">
        <v>22</v>
      </c>
    </row>
    <row r="3" customFormat="false" ht="15" hidden="false" customHeight="false" outlineLevel="0" collapsed="false">
      <c r="A3" s="9" t="s">
        <v>23</v>
      </c>
      <c r="B3" s="9"/>
      <c r="C3" s="9"/>
      <c r="D3" s="10" t="n">
        <v>25</v>
      </c>
      <c r="E3" s="11" t="s">
        <v>24</v>
      </c>
      <c r="F3" s="11"/>
      <c r="G3" s="11"/>
      <c r="H3" s="11"/>
      <c r="I3" s="11"/>
      <c r="J3" s="11"/>
      <c r="K3" s="11"/>
    </row>
    <row r="5" customFormat="false" ht="15" hidden="false" customHeight="false" outlineLevel="0" collapsed="false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35</v>
      </c>
      <c r="L5" s="5" t="s">
        <v>36</v>
      </c>
      <c r="M5" s="5" t="s">
        <v>37</v>
      </c>
    </row>
    <row r="6" customFormat="false" ht="15" hidden="false" customHeight="false" outlineLevel="0" collapsed="false">
      <c r="A6" s="6" t="s">
        <v>38</v>
      </c>
      <c r="B6" s="6" t="n">
        <v>1000.6</v>
      </c>
      <c r="C6" s="6" t="n">
        <v>-0.0128</v>
      </c>
      <c r="D6" s="6" t="n">
        <v>-0.0035</v>
      </c>
      <c r="E6" s="6" t="n">
        <v>0.5582</v>
      </c>
      <c r="F6" s="6" t="n">
        <v>0.00214</v>
      </c>
      <c r="G6" s="6" t="n">
        <v>-9.5E-006</v>
      </c>
      <c r="H6" s="6" t="n">
        <v>4180</v>
      </c>
      <c r="I6" s="6" t="n">
        <v>0</v>
      </c>
      <c r="J6" s="6" t="s">
        <v>39</v>
      </c>
      <c r="K6" s="6" t="n">
        <v>2.414E-005</v>
      </c>
      <c r="L6" s="6" t="n">
        <v>247.8</v>
      </c>
      <c r="M6" s="6" t="n">
        <v>133.15</v>
      </c>
    </row>
    <row r="7" customFormat="false" ht="15" hidden="false" customHeight="false" outlineLevel="0" collapsed="false">
      <c r="A7" s="6" t="s">
        <v>40</v>
      </c>
      <c r="B7" s="6" t="n">
        <v>1093</v>
      </c>
      <c r="C7" s="6" t="n">
        <v>-0.55</v>
      </c>
      <c r="D7" s="6" t="n">
        <v>0</v>
      </c>
      <c r="E7" s="6" t="n">
        <v>0.38</v>
      </c>
      <c r="F7" s="6" t="n">
        <v>0.0005</v>
      </c>
      <c r="G7" s="6" t="n">
        <v>0</v>
      </c>
      <c r="H7" s="6" t="n">
        <v>3280</v>
      </c>
      <c r="I7" s="6" t="n">
        <v>3</v>
      </c>
      <c r="J7" s="6" t="s">
        <v>41</v>
      </c>
      <c r="K7" s="6" t="n">
        <v>0.00693</v>
      </c>
      <c r="L7" s="6" t="n">
        <v>-0.0216</v>
      </c>
      <c r="M7" s="6"/>
    </row>
    <row r="8" customFormat="false" ht="15" hidden="false" customHeight="false" outlineLevel="0" collapsed="false">
      <c r="A8" s="6" t="s">
        <v>42</v>
      </c>
      <c r="B8" s="6" t="n">
        <v>900</v>
      </c>
      <c r="C8" s="6" t="n">
        <v>-0.7</v>
      </c>
      <c r="D8" s="6" t="n">
        <v>0</v>
      </c>
      <c r="E8" s="6" t="n">
        <v>0.137</v>
      </c>
      <c r="F8" s="6" t="n">
        <v>-8E-005</v>
      </c>
      <c r="G8" s="6" t="n">
        <v>0</v>
      </c>
      <c r="H8" s="6" t="n">
        <v>1800</v>
      </c>
      <c r="I8" s="6" t="n">
        <v>3.5</v>
      </c>
      <c r="J8" s="6" t="s">
        <v>41</v>
      </c>
      <c r="K8" s="6" t="n">
        <v>0.0577</v>
      </c>
      <c r="L8" s="6" t="n">
        <v>-0.0339</v>
      </c>
      <c r="M8" s="6"/>
    </row>
    <row r="10" customFormat="false" ht="15" hidden="false" customHeight="false" outlineLevel="0" collapsed="false">
      <c r="A10" s="4" t="s">
        <v>43</v>
      </c>
    </row>
    <row r="11" customFormat="false" ht="15" hidden="false" customHeight="false" outlineLevel="0" collapsed="false">
      <c r="A11" s="5" t="s">
        <v>25</v>
      </c>
      <c r="B11" s="5" t="s">
        <v>10</v>
      </c>
      <c r="C11" s="5" t="s">
        <v>11</v>
      </c>
      <c r="D11" s="5" t="s">
        <v>12</v>
      </c>
      <c r="E11" s="5" t="s">
        <v>44</v>
      </c>
      <c r="F11" s="5" t="s">
        <v>45</v>
      </c>
    </row>
    <row r="12" customFormat="false" ht="15" hidden="false" customHeight="false" outlineLevel="0" collapsed="false">
      <c r="A12" s="6" t="s">
        <v>38</v>
      </c>
      <c r="B12" s="7" t="n">
        <f aca="false">B6+C6*$D$3+D6*$D$3^2</f>
        <v>998.0925</v>
      </c>
      <c r="C12" s="7" t="n">
        <f aca="false">H6+I6*$D$3</f>
        <v>4180</v>
      </c>
      <c r="D12" s="12" t="n">
        <f aca="false">E6+F6*$D$3+G6*$D$3^2</f>
        <v>0.6057625</v>
      </c>
      <c r="E12" s="13" t="n">
        <f aca="false">K6*10^(L6/($D$3+M6))</f>
        <v>0.000890438981614654</v>
      </c>
      <c r="F12" s="12" t="n">
        <f aca="false">E12*1000</f>
        <v>0.890438981614654</v>
      </c>
    </row>
    <row r="13" customFormat="false" ht="15" hidden="false" customHeight="false" outlineLevel="0" collapsed="false">
      <c r="A13" s="6" t="s">
        <v>40</v>
      </c>
      <c r="B13" s="7" t="n">
        <f aca="false">B7+C7*$D$3+D7*$D$3^2</f>
        <v>1079.25</v>
      </c>
      <c r="C13" s="7" t="n">
        <f aca="false">H7+I7*$D$3</f>
        <v>3355</v>
      </c>
      <c r="D13" s="12" t="n">
        <f aca="false">E7+F7*$D$3+G7*$D$3^2</f>
        <v>0.3925</v>
      </c>
      <c r="E13" s="13" t="n">
        <f aca="false">K7*EXP(L7*$D$3)</f>
        <v>0.00403844538895175</v>
      </c>
      <c r="F13" s="12" t="n">
        <f aca="false">E13*1000</f>
        <v>4.03844538895175</v>
      </c>
    </row>
    <row r="14" customFormat="false" ht="15" hidden="false" customHeight="false" outlineLevel="0" collapsed="false">
      <c r="A14" s="6" t="s">
        <v>42</v>
      </c>
      <c r="B14" s="7" t="n">
        <f aca="false">B8+C8*$D$3+D8*$D$3^2</f>
        <v>882.5</v>
      </c>
      <c r="C14" s="7" t="n">
        <f aca="false">H8+I8*$D$3</f>
        <v>1887.5</v>
      </c>
      <c r="D14" s="12" t="n">
        <f aca="false">E8+F8*$D$3+G8*$D$3^2</f>
        <v>0.135</v>
      </c>
      <c r="E14" s="13" t="n">
        <f aca="false">K8*EXP(L8*$D$3)</f>
        <v>0.0247235733098938</v>
      </c>
      <c r="F14" s="12" t="n">
        <f aca="false">E14*1000</f>
        <v>24.7235733098938</v>
      </c>
    </row>
    <row r="16" customFormat="false" ht="15" hidden="false" customHeight="false" outlineLevel="0" collapsed="false">
      <c r="A16" s="11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</sheetData>
  <mergeCells count="3">
    <mergeCell ref="A3:C3"/>
    <mergeCell ref="E3:K3"/>
    <mergeCell ref="A16:M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4" t="s">
        <v>47</v>
      </c>
    </row>
    <row r="3" customFormat="false" ht="15" hidden="false" customHeight="false" outlineLevel="0" collapsed="false">
      <c r="A3" s="5" t="s">
        <v>48</v>
      </c>
      <c r="B3" s="5" t="s">
        <v>49</v>
      </c>
      <c r="C3" s="5" t="s">
        <v>50</v>
      </c>
      <c r="D3" s="5" t="s">
        <v>51</v>
      </c>
    </row>
    <row r="4" customFormat="false" ht="15" hidden="false" customHeight="false" outlineLevel="0" collapsed="false">
      <c r="A4" s="6" t="s">
        <v>52</v>
      </c>
      <c r="B4" s="6" t="s">
        <v>53</v>
      </c>
      <c r="C4" s="6" t="s">
        <v>54</v>
      </c>
      <c r="D4" s="6" t="s">
        <v>55</v>
      </c>
    </row>
    <row r="5" customFormat="false" ht="15" hidden="false" customHeight="false" outlineLevel="0" collapsed="false">
      <c r="A5" s="6" t="s">
        <v>56</v>
      </c>
      <c r="B5" s="6" t="s">
        <v>57</v>
      </c>
      <c r="C5" s="6" t="s">
        <v>58</v>
      </c>
      <c r="D5" s="6" t="s">
        <v>59</v>
      </c>
    </row>
    <row r="6" customFormat="false" ht="15" hidden="false" customHeight="false" outlineLevel="0" collapsed="false">
      <c r="A6" s="6" t="s">
        <v>60</v>
      </c>
      <c r="B6" s="6" t="s">
        <v>61</v>
      </c>
      <c r="C6" s="6" t="s">
        <v>62</v>
      </c>
      <c r="D6" s="6" t="s">
        <v>63</v>
      </c>
    </row>
    <row r="8" customFormat="false" ht="15" hidden="false" customHeight="false" outlineLevel="0" collapsed="false">
      <c r="A8" s="8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8"/>
  </cols>
  <sheetData>
    <row r="1" customFormat="false" ht="15" hidden="false" customHeight="false" outlineLevel="0" collapsed="false">
      <c r="A1" s="4" t="s">
        <v>65</v>
      </c>
    </row>
    <row r="3" customFormat="false" ht="15" hidden="false" customHeight="false" outlineLevel="0" collapsed="false">
      <c r="A3" s="5" t="s">
        <v>66</v>
      </c>
      <c r="B3" s="5" t="s">
        <v>67</v>
      </c>
      <c r="C3" s="5" t="s">
        <v>68</v>
      </c>
    </row>
    <row r="4" customFormat="false" ht="15" hidden="false" customHeight="false" outlineLevel="0" collapsed="false">
      <c r="A4" s="6" t="s">
        <v>48</v>
      </c>
      <c r="B4" s="14" t="s">
        <v>69</v>
      </c>
      <c r="C4" s="6" t="n">
        <v>3</v>
      </c>
    </row>
    <row r="5" customFormat="false" ht="23.85" hidden="false" customHeight="false" outlineLevel="0" collapsed="false">
      <c r="A5" s="6" t="s">
        <v>70</v>
      </c>
      <c r="B5" s="14" t="s">
        <v>71</v>
      </c>
      <c r="C5" s="6" t="n">
        <v>3</v>
      </c>
    </row>
    <row r="6" customFormat="false" ht="15" hidden="false" customHeight="false" outlineLevel="0" collapsed="false">
      <c r="A6" s="6" t="s">
        <v>72</v>
      </c>
      <c r="B6" s="14" t="s">
        <v>73</v>
      </c>
      <c r="C6" s="6" t="n">
        <v>7</v>
      </c>
    </row>
    <row r="7" customFormat="false" ht="15" hidden="false" customHeight="false" outlineLevel="0" collapsed="false">
      <c r="A7" s="6" t="s">
        <v>74</v>
      </c>
      <c r="B7" s="14" t="s">
        <v>75</v>
      </c>
      <c r="C7" s="6" t="n">
        <v>3</v>
      </c>
    </row>
    <row r="8" customFormat="false" ht="15" hidden="false" customHeight="false" outlineLevel="0" collapsed="false">
      <c r="A8" s="6" t="s">
        <v>76</v>
      </c>
      <c r="B8" s="14" t="s">
        <v>77</v>
      </c>
      <c r="C8" s="6" t="n">
        <v>8</v>
      </c>
    </row>
    <row r="9" customFormat="false" ht="15" hidden="false" customHeight="false" outlineLevel="0" collapsed="false">
      <c r="A9" s="6" t="s">
        <v>78</v>
      </c>
      <c r="B9" s="14" t="s">
        <v>79</v>
      </c>
      <c r="C9" s="6" t="n">
        <v>4</v>
      </c>
    </row>
    <row r="10" customFormat="false" ht="15" hidden="false" customHeight="false" outlineLevel="0" collapsed="false">
      <c r="A10" s="6" t="s">
        <v>80</v>
      </c>
      <c r="B10" s="14" t="s">
        <v>81</v>
      </c>
      <c r="C10" s="6" t="n">
        <v>3</v>
      </c>
    </row>
    <row r="11" customFormat="false" ht="15" hidden="false" customHeight="false" outlineLevel="0" collapsed="false">
      <c r="A11" s="6" t="s">
        <v>82</v>
      </c>
      <c r="B11" s="14" t="s">
        <v>83</v>
      </c>
      <c r="C11" s="6" t="n">
        <v>3</v>
      </c>
    </row>
    <row r="12" customFormat="false" ht="15" hidden="false" customHeight="false" outlineLevel="0" collapsed="false">
      <c r="A12" s="4" t="s">
        <v>84</v>
      </c>
      <c r="C12" s="15" t="n">
        <f aca="false">PRODUCT(C4:C11)</f>
        <v>54432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8" min="6" style="0" width="9"/>
    <col collapsed="false" customWidth="true" hidden="false" outlineLevel="0" max="9" min="9" style="0" width="11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4" t="s">
        <v>85</v>
      </c>
    </row>
    <row r="3" customFormat="false" ht="15" hidden="false" customHeight="false" outlineLevel="0" collapsed="false">
      <c r="A3" s="5" t="s">
        <v>86</v>
      </c>
      <c r="B3" s="5" t="s">
        <v>25</v>
      </c>
      <c r="C3" s="5" t="s">
        <v>87</v>
      </c>
      <c r="D3" s="5" t="s">
        <v>88</v>
      </c>
      <c r="E3" s="5" t="s">
        <v>89</v>
      </c>
      <c r="F3" s="5" t="s">
        <v>90</v>
      </c>
      <c r="G3" s="5" t="s">
        <v>91</v>
      </c>
      <c r="H3" s="5" t="s">
        <v>92</v>
      </c>
      <c r="I3" s="5" t="s">
        <v>93</v>
      </c>
      <c r="J3" s="5" t="s">
        <v>94</v>
      </c>
    </row>
    <row r="4" customFormat="false" ht="15" hidden="false" customHeight="false" outlineLevel="0" collapsed="false">
      <c r="A4" s="6" t="s">
        <v>52</v>
      </c>
      <c r="B4" s="6" t="s">
        <v>38</v>
      </c>
      <c r="C4" s="6" t="n">
        <v>0.56</v>
      </c>
      <c r="D4" s="6" t="n">
        <v>25</v>
      </c>
      <c r="E4" s="6" t="n">
        <v>0.5</v>
      </c>
      <c r="F4" s="16" t="n">
        <v>0.0008</v>
      </c>
      <c r="G4" s="6" t="n">
        <v>0.13</v>
      </c>
      <c r="H4" s="16" t="n">
        <v>1.0016</v>
      </c>
      <c r="I4" s="13" t="n">
        <v>0.999997</v>
      </c>
      <c r="J4" s="17" t="n">
        <f aca="false">I4-1</f>
        <v>-2.99999999997524E-006</v>
      </c>
    </row>
    <row r="5" customFormat="false" ht="15" hidden="false" customHeight="false" outlineLevel="0" collapsed="false">
      <c r="A5" s="6" t="s">
        <v>52</v>
      </c>
      <c r="B5" s="6" t="s">
        <v>40</v>
      </c>
      <c r="C5" s="6" t="n">
        <v>3</v>
      </c>
      <c r="D5" s="6" t="n">
        <v>25</v>
      </c>
      <c r="E5" s="6" t="n">
        <v>1.71</v>
      </c>
      <c r="F5" s="16" t="n">
        <v>0.0048</v>
      </c>
      <c r="G5" s="6" t="n">
        <v>1.58</v>
      </c>
      <c r="H5" s="16" t="n">
        <v>1.0085</v>
      </c>
      <c r="I5" s="13" t="n">
        <v>0.999909</v>
      </c>
      <c r="J5" s="17" t="n">
        <f aca="false">I5-1</f>
        <v>-9.09999999999522E-005</v>
      </c>
    </row>
    <row r="6" customFormat="false" ht="15" hidden="false" customHeight="false" outlineLevel="0" collapsed="false">
      <c r="A6" s="6" t="s">
        <v>52</v>
      </c>
      <c r="B6" s="6" t="s">
        <v>42</v>
      </c>
      <c r="C6" s="6" t="n">
        <v>0.25</v>
      </c>
      <c r="D6" s="6" t="n">
        <v>25</v>
      </c>
      <c r="E6" s="6" t="n">
        <v>0.5</v>
      </c>
      <c r="F6" s="16" t="n">
        <v>0.0003</v>
      </c>
      <c r="G6" s="6" t="n">
        <v>0.6</v>
      </c>
      <c r="H6" s="16" t="n">
        <v>1.0003</v>
      </c>
      <c r="I6" s="13" t="n">
        <v>0.99957</v>
      </c>
      <c r="J6" s="17" t="n">
        <f aca="false">I6-1</f>
        <v>-0.000430000000000041</v>
      </c>
    </row>
    <row r="7" customFormat="false" ht="15" hidden="false" customHeight="false" outlineLevel="0" collapsed="false">
      <c r="A7" s="6" t="s">
        <v>60</v>
      </c>
      <c r="B7" s="6" t="s">
        <v>38</v>
      </c>
      <c r="C7" s="6" t="n">
        <v>0.25</v>
      </c>
      <c r="D7" s="6" t="n">
        <v>25</v>
      </c>
      <c r="E7" s="6" t="n">
        <v>0.5</v>
      </c>
      <c r="F7" s="16" t="n">
        <v>0.0007</v>
      </c>
      <c r="G7" s="6" t="n">
        <v>0.13</v>
      </c>
      <c r="H7" s="16" t="n">
        <v>0.9992</v>
      </c>
      <c r="I7" s="13" t="n">
        <v>0.998602</v>
      </c>
      <c r="J7" s="17" t="n">
        <f aca="false">I7-1</f>
        <v>-0.00139800000000001</v>
      </c>
    </row>
    <row r="8" customFormat="false" ht="15" hidden="false" customHeight="false" outlineLevel="0" collapsed="false">
      <c r="A8" s="6" t="s">
        <v>60</v>
      </c>
      <c r="B8" s="6" t="s">
        <v>40</v>
      </c>
      <c r="C8" s="6" t="n">
        <v>0.25</v>
      </c>
      <c r="D8" s="6" t="n">
        <v>25</v>
      </c>
      <c r="E8" s="6" t="n">
        <v>0.5</v>
      </c>
      <c r="F8" s="16" t="n">
        <v>0.0008</v>
      </c>
      <c r="G8" s="6" t="n">
        <v>0.22</v>
      </c>
      <c r="H8" s="16" t="n">
        <v>0.9992</v>
      </c>
      <c r="I8" s="13" t="n">
        <v>0.998619</v>
      </c>
      <c r="J8" s="17" t="n">
        <f aca="false">I8-1</f>
        <v>-0.00138099999999997</v>
      </c>
    </row>
    <row r="9" customFormat="false" ht="15" hidden="false" customHeight="false" outlineLevel="0" collapsed="false">
      <c r="A9" s="6" t="s">
        <v>60</v>
      </c>
      <c r="B9" s="6" t="s">
        <v>42</v>
      </c>
      <c r="C9" s="6" t="n">
        <v>0.25</v>
      </c>
      <c r="D9" s="6" t="n">
        <v>25</v>
      </c>
      <c r="E9" s="6" t="n">
        <v>0.5</v>
      </c>
      <c r="F9" s="16" t="n">
        <v>0.0006</v>
      </c>
      <c r="G9" s="6" t="n">
        <v>0.61</v>
      </c>
      <c r="H9" s="16" t="n">
        <v>0.9996</v>
      </c>
      <c r="I9" s="13" t="n">
        <v>0.998969</v>
      </c>
      <c r="J9" s="17" t="n">
        <f aca="false">I9-1</f>
        <v>-0.001031</v>
      </c>
    </row>
    <row r="10" customFormat="false" ht="15" hidden="false" customHeight="false" outlineLevel="0" collapsed="false">
      <c r="A10" s="6" t="s">
        <v>56</v>
      </c>
      <c r="B10" s="6" t="s">
        <v>38</v>
      </c>
      <c r="C10" s="6" t="n">
        <v>0.25</v>
      </c>
      <c r="D10" s="6" t="n">
        <v>25</v>
      </c>
      <c r="E10" s="6" t="n">
        <v>0.5</v>
      </c>
      <c r="F10" s="16" t="n">
        <v>0.0006</v>
      </c>
      <c r="G10" s="6" t="n">
        <v>0.13</v>
      </c>
      <c r="H10" s="16" t="n">
        <v>0.9994</v>
      </c>
      <c r="I10" s="13" t="n">
        <v>0.998782</v>
      </c>
      <c r="J10" s="17" t="n">
        <f aca="false">I10-1</f>
        <v>-0.00121800000000005</v>
      </c>
    </row>
    <row r="11" customFormat="false" ht="15" hidden="false" customHeight="false" outlineLevel="0" collapsed="false">
      <c r="A11" s="6" t="s">
        <v>56</v>
      </c>
      <c r="B11" s="6" t="s">
        <v>40</v>
      </c>
      <c r="C11" s="6" t="n">
        <v>0.25</v>
      </c>
      <c r="D11" s="6" t="n">
        <v>25</v>
      </c>
      <c r="E11" s="6" t="n">
        <v>1.62</v>
      </c>
      <c r="F11" s="16" t="n">
        <v>0.0007</v>
      </c>
      <c r="G11" s="6" t="n">
        <v>1.24</v>
      </c>
      <c r="H11" s="16" t="n">
        <v>0.9994</v>
      </c>
      <c r="I11" s="13" t="n">
        <v>0.998799</v>
      </c>
      <c r="J11" s="17" t="n">
        <f aca="false">I11-1</f>
        <v>-0.00120100000000001</v>
      </c>
    </row>
    <row r="12" customFormat="false" ht="15" hidden="false" customHeight="false" outlineLevel="0" collapsed="false">
      <c r="A12" s="6" t="s">
        <v>56</v>
      </c>
      <c r="B12" s="6" t="s">
        <v>42</v>
      </c>
      <c r="C12" s="6" t="n">
        <v>0.25</v>
      </c>
      <c r="D12" s="6" t="n">
        <v>25</v>
      </c>
      <c r="E12" s="6" t="n">
        <v>0.5</v>
      </c>
      <c r="F12" s="16" t="n">
        <v>0.0006</v>
      </c>
      <c r="G12" s="6" t="n">
        <v>0.61</v>
      </c>
      <c r="H12" s="16" t="n">
        <v>0.9997</v>
      </c>
      <c r="I12" s="13" t="n">
        <v>0.999052</v>
      </c>
      <c r="J12" s="17" t="n">
        <f aca="false">I12-1</f>
        <v>-0.000947999999999949</v>
      </c>
    </row>
    <row r="14" customFormat="false" ht="15" hidden="false" customHeight="false" outlineLevel="0" collapsed="false">
      <c r="A14" s="11" t="s">
        <v>95</v>
      </c>
      <c r="B14" s="11"/>
      <c r="C14" s="11"/>
      <c r="D14" s="11"/>
      <c r="E14" s="11"/>
      <c r="F14" s="11"/>
      <c r="G14" s="11"/>
      <c r="H14" s="11"/>
      <c r="I14" s="11"/>
      <c r="J14" s="11"/>
    </row>
  </sheetData>
  <mergeCells count="1">
    <mergeCell ref="A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2026-06-20T20:18:00Z</dcterms:created>
  <dc:creator>openpyxl</dc:creator>
  <dc:description/>
  <dc:language>en-US</dc:language>
  <cp:lastModifiedBy/>
  <dcterms:modified xsi:type="dcterms:W3CDTF">2026-06-20T20:18:01Z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